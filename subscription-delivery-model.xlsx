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Monthly Projection" sheetId="3" state="visible" r:id="rId5"/>
    <sheet name="Daily P&amp;L (At Maturity)" sheetId="4" state="visible" r:id="rId6"/>
    <sheet name="Break-Even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<sst xmlns="http://schemas.openxmlformats.org/spreadsheetml/2006/main" count="165" uniqueCount="121">
  <si>
    <t xml:space="preserve">Central Kitchen — Online Delivery + Subscriptions Only</t>
  </si>
  <si>
    <t xml:space="preserve">No outlets, no franchise, no owned delivery fleet — one kitchen, two revenue streams</t>
  </si>
  <si>
    <t xml:space="preserve">WHAT CHANGED FROM THE OTHER MODELS</t>
  </si>
  <si>
    <t xml:space="preserve">• Back to ₹10L capital — this fits comfortably, with room to spare.</t>
  </si>
  <si>
    <t xml:space="preserve">• No retail outlets, no franchise — just the central kitchen and online orders (your own website/app/WhatsApp ordering, not a storefront).</t>
  </si>
  <si>
    <t xml:space="preserve">• No owned delivery fleet — riders are paid per delivery (gig/contract model), which keeps delivery a variable cost instead of a large upfront fleet purchase.</t>
  </si>
  <si>
    <t xml:space="preserve">• Two revenue streams modelled separately: one-off online orders, and weekly subscription meal plans (Starter/Balanced/Complete from your menu).</t>
  </si>
  <si>
    <t xml:space="preserve">THE HEADLINE</t>
  </si>
  <si>
    <t xml:space="preserve">Subscriptions carry a lower price per meal than one-off orders, but a noticeably better margin — because subscription deliveries batch efficiently (same rider, clustered drops, predictable routes), while one-off orders each need a dedicated trip. That's the main lever in this model.</t>
  </si>
  <si>
    <t xml:space="preserve">HOW THIS WORKBOOK WORKS</t>
  </si>
  <si>
    <t xml:space="preserve">1. 'Assumptions' — capex, monthly fixed costs, per-order and per-subscription-meal unit economics, and separate ramp curves for one-off orders and subscription meals. All yellow cells are editable.</t>
  </si>
  <si>
    <t xml:space="preserve">2. 'Monthly Projection' — 18 months, both revenue streams combined into one P&amp;L with a running cash position.</t>
  </si>
  <si>
    <t xml:space="preserve">3. 'Daily P&amp;L (At Maturity)' — a clean expense/profit-per-day snapshot once both streams plateau.</t>
  </si>
  <si>
    <t xml:space="preserve">4. 'Break-Even Summary' — the headline numbers.</t>
  </si>
  <si>
    <t xml:space="preserve">KEY ASSUMPTIONS TO VALIDATE</t>
  </si>
  <si>
    <t xml:space="preserve">• One-off order: ₹200 average value, 30% food cost, ₹35 delivery cost (a full dedicated trip).</t>
  </si>
  <si>
    <t xml:space="preserve">• Subscription meal: ₹132 blended average (across Starter/Balanced/Complete), 30% food cost, ₹15 delivery cost (batched route).</t>
  </si>
  <si>
    <t xml:space="preserve">• Fixed team assumed here comfortably handles up to ~200 combined meals/day. Beyond that, budget for additional kitchen staff — this model doesn't add that cost automatically.</t>
  </si>
  <si>
    <t xml:space="preserve">COLOR KEY</t>
  </si>
  <si>
    <t xml:space="preserve">Yellow fill = edit this</t>
  </si>
  <si>
    <t xml:space="preserve">Black text = formula, recalculates automatically</t>
  </si>
  <si>
    <t xml:space="preserve">Assumptions</t>
  </si>
  <si>
    <t xml:space="preserve">Every yellow cell feeds Monthly Projection and Daily P&amp;L.</t>
  </si>
  <si>
    <t xml:space="preserve">TOTAL STARTING CAPITAL</t>
  </si>
  <si>
    <t xml:space="preserve">Total capital available</t>
  </si>
  <si>
    <t xml:space="preserve">ONE-TIME SETUP COSTS</t>
  </si>
  <si>
    <t xml:space="preserve">Item</t>
  </si>
  <si>
    <t xml:space="preserve">Amount (₹)</t>
  </si>
  <si>
    <t xml:space="preserve">Kitchen equipment (burners, fridge, blender, prep tables)</t>
  </si>
  <si>
    <t xml:space="preserve">Kitchen fit-out (civil, electrical, plumbing)</t>
  </si>
  <si>
    <t xml:space="preserve">Licenses &amp; registration (FSSAI, GST, trade license)</t>
  </si>
  <si>
    <t xml:space="preserve">Branding, menu design, initial packaging stock</t>
  </si>
  <si>
    <t xml:space="preserve">Online ordering platform (website, WhatsApp ordering, basic app, payments)</t>
  </si>
  <si>
    <t xml:space="preserve">Launch marketing campaign</t>
  </si>
  <si>
    <t xml:space="preserve">Contingency / miscellaneous</t>
  </si>
  <si>
    <t xml:space="preserve">Total setup cost</t>
  </si>
  <si>
    <t xml:space="preserve">Working capital buffer (remainder)</t>
  </si>
  <si>
    <t xml:space="preserve">MONTHLY FIXED OPERATING COSTS</t>
  </si>
  <si>
    <t xml:space="preserve">Amount (₹/month)</t>
  </si>
  <si>
    <t xml:space="preserve">Rent (kitchen only, no retail counter)</t>
  </si>
  <si>
    <t xml:space="preserve">Staff — chef</t>
  </si>
  <si>
    <t xml:space="preserve">Staff — 2 kitchen helpers</t>
  </si>
  <si>
    <t xml:space="preserve">Staff — packing/dispatch coordinator</t>
  </si>
  <si>
    <t xml:space="preserve">Staff — subscription/customer support (part-time)</t>
  </si>
  <si>
    <t xml:space="preserve">Utilities (electricity, gas, water)</t>
  </si>
  <si>
    <t xml:space="preserve">Ongoing marketing (digital ads, subscription acquisition)</t>
  </si>
  <si>
    <t xml:space="preserve">Platform/tech maintenance (hosting, payment gateway)</t>
  </si>
  <si>
    <t xml:space="preserve">Admin &amp; accounting</t>
  </si>
  <si>
    <t xml:space="preserve">Total fixed cost / month</t>
  </si>
  <si>
    <t xml:space="preserve">ONE-OFF ONLINE ORDERS — UNIT ECONOMICS</t>
  </si>
  <si>
    <t xml:space="preserve">Average order value (₹)</t>
  </si>
  <si>
    <t xml:space="preserve">Food cost / COGS (% of revenue)</t>
  </si>
  <si>
    <t xml:space="preserve">Delivery cost per order — dedicated trip (₹)</t>
  </si>
  <si>
    <t xml:space="preserve">SUBSCRIPTION MEALS — UNIT ECONOMICS</t>
  </si>
  <si>
    <t xml:space="preserve">Blended revenue per subscription meal (₹)</t>
  </si>
  <si>
    <t xml:space="preserve">Delivery cost per meal — batched route (₹)</t>
  </si>
  <si>
    <t xml:space="preserve">RAMP — ONE-OFF ORDERS / DAY BY MONTH</t>
  </si>
  <si>
    <t xml:space="preserve">Month</t>
  </si>
  <si>
    <t xml:space="preserve">Orders / day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</si>
  <si>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</si>
  <si>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</si>
  <si>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</si>
  <si>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</si>
  <si>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</si>
  <si>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</si>
  <si>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</si>
  <si>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</si>
  <si>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</si>
  <si>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</si>
  <si>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</si>
  <si>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</si>
  <si>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Month 13</t>
  </si>
  <si>
    <t xml:space="preserve">Month 14</t>
  </si>
  <si>
    <t xml:space="preserve">Month 15</t>
  </si>
  <si>
    <t xml:space="preserve">Month 16</t>
  </si>
  <si>
    <t xml:space="preserve">Month 17</t>
  </si>
  <si>
    <t xml:space="preserve">Month 18</t>
  </si>
  <si>
    <t xml:space="preserve">RAMP — SUBSCRIPTION MEALS / DAY BY MONTH</t>
  </si>
  <si>
    <t xml:space="preserve">Meals / day</t>
  </si>
  <si>
    <t xml:space="preserve">18-Month Projection</t>
  </si>
  <si>
    <t xml:space="preserve">One-off orders and subscription meals combined into a single P&amp;L.</t>
  </si>
  <si>
    <t xml:space="preserve">One-off orders/day</t>
  </si>
  <si>
    <t xml:space="preserve">Sub meals/day</t>
  </si>
  <si>
    <t xml:space="preserve">One-off revenue (₹)</t>
  </si>
  <si>
    <t xml:space="preserve">One-off contribution (₹)</t>
  </si>
  <si>
    <t xml:space="preserve">Sub revenue (₹)</t>
  </si>
  <si>
    <t xml:space="preserve">Sub contribution (₹)</t>
  </si>
  <si>
    <t xml:space="preserve">Total revenue (₹)</t>
  </si>
  <si>
    <t xml:space="preserve">Total contribution (₹)</t>
  </si>
  <si>
    <t xml:space="preserve">Fixed opex (₹)</t>
  </si>
  <si>
    <t xml:space="preserve">Net profit (₹)</t>
  </si>
  <si>
    <t xml:space="preserve">Cumulative net profit (₹)</t>
  </si>
  <si>
    <t xml:space="preserve">Cash position (₹)</t>
  </si>
  <si>
    <t xml:space="preserve">Op profit?</t>
  </si>
  <si>
    <t xml:space="preserve">Capital recovered?</t>
  </si>
  <si>
    <t xml:space="preserve">Daily P&amp;L — Once Both Streams Plateau</t>
  </si>
  <si>
    <t xml:space="preserve">Snapshot at Month 18 (last projected month).</t>
  </si>
  <si>
    <t xml:space="preserve">ONE-OFF ONLINE ORDERS</t>
  </si>
  <si>
    <t xml:space="preserve">Daily revenue</t>
  </si>
  <si>
    <t xml:space="preserve">Daily contribution (after food cost + delivery)</t>
  </si>
  <si>
    <t xml:space="preserve">SUBSCRIPTION MEALS</t>
  </si>
  <si>
    <t xml:space="preserve">FIXED COSTS</t>
  </si>
  <si>
    <t xml:space="preserve">Daily fixed costs (rent, staff, utilities, marketing, tech)</t>
  </si>
  <si>
    <t xml:space="preserve">NET DAILY RESULT</t>
  </si>
  <si>
    <t xml:space="preserve">Total daily contribution (one-off + subscription)</t>
  </si>
  <si>
    <t xml:space="preserve">Less: daily fixed costs</t>
  </si>
  <si>
    <t xml:space="preserve">NET DAILY PROFIT</t>
  </si>
  <si>
    <t xml:space="preserve">Break-Even Summary</t>
  </si>
  <si>
    <t xml:space="preserve">Headline numbers, pulled live from the projection.</t>
  </si>
  <si>
    <t xml:space="preserve">CAPITAL SPLIT</t>
  </si>
  <si>
    <t xml:space="preserve">Total capital</t>
  </si>
  <si>
    <t xml:space="preserve">One-time setup cost</t>
  </si>
  <si>
    <t xml:space="preserve">Working capital buffer</t>
  </si>
  <si>
    <t xml:space="preserve">DAILY RESULT AT MATURITY</t>
  </si>
  <si>
    <t xml:space="preserve">Net daily profit once both streams plateau</t>
  </si>
  <si>
    <t xml:space="preserve">TIMELINE</t>
  </si>
  <si>
    <t xml:space="preserve">Month operations turn profitable</t>
  </si>
  <si>
    <t xml:space="preserve">Month full ₹10L capital is recovered</t>
  </si>
  <si>
    <t xml:space="preserve">WHY SUBSCRIPTIONS HELP</t>
  </si>
  <si>
    <t xml:space="preserve">One-off order contribution margin</t>
  </si>
  <si>
    <t xml:space="preserve">Subscription meal contribution margin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</si>
</sst>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.0%"/>
    <numFmt numFmtId="167" formatCode="0"/>
    <numFmt numFmtId="168" formatCode="General"/>
    <numFmt numFmtId="169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1261B"/>
      <name val="Arial"/>
      <family val="0"/>
      <charset val="1"/>
    </font>
    <font>
      <i val="true"/>
      <sz val="10"/>
      <color rgb="FF4A4E3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1261B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1261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EAE3D2"/>
        <bgColor rgb="FFF2EDE1"/>
      </patternFill>
    </fill>
    <fill>
      <patternFill patternType="solid">
        <fgColor rgb="FF21261B"/>
        <bgColor rgb="FF003300"/>
      </patternFill>
    </fill>
    <fill>
      <patternFill patternType="solid">
        <fgColor rgb="FFF2EDE1"/>
        <bgColor rgb="FFEAE3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F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2EDE1"/>
      <rgbColor rgb="FFFFFF99"/>
      <rgbColor rgb="FF99CCFF"/>
      <rgbColor rgb="FFFF99CC"/>
      <rgbColor rgb="FFCC99FF"/>
      <rgbColor rgb="FFEAE3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4E3F"/>
      <rgbColor rgb="FF993300"/>
      <rgbColor rgb="FF993366"/>
      <rgbColor rgb="FF333399"/>
      <rgbColor rgb="FF2126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/>
    </row>
    <row r="6" customFormat="false" ht="15" hidden="false" customHeight="true" outlineLevel="0" collapsed="false">
      <c r="B6" s="4" t="s">
        <v>2</v>
      </c>
    </row>
    <row r="7" customFormat="false" ht="15" hidden="false" customHeight="true" outlineLevel="0" collapsed="false">
      <c r="B7" s="3" t="s">
        <v>3</v>
      </c>
    </row>
    <row r="8" customFormat="false" ht="15" hidden="false" customHeight="true" outlineLevel="0" collapsed="false">
      <c r="B8" s="3" t="s">
        <v>4</v>
      </c>
    </row>
    <row r="9" customFormat="false" ht="15" hidden="false" customHeight="true" outlineLevel="0" collapsed="false">
      <c r="B9" s="3" t="s">
        <v>5</v>
      </c>
    </row>
    <row r="10" customFormat="false" ht="15" hidden="false" customHeight="true" outlineLevel="0" collapsed="false">
      <c r="B10" s="3" t="s">
        <v>6</v>
      </c>
    </row>
    <row r="11" customFormat="false" ht="15" hidden="false" customHeight="true" outlineLevel="0" collapsed="false">
      <c r="B11" s="3"/>
    </row>
    <row r="12" customFormat="false" ht="15" hidden="false" customHeight="true" outlineLevel="0" collapsed="false">
      <c r="B12" s="4" t="s">
        <v>7</v>
      </c>
    </row>
    <row r="13" customFormat="false" ht="15" hidden="false" customHeight="true" outlineLevel="0" collapsed="false">
      <c r="B13" s="3" t="s">
        <v>8</v>
      </c>
    </row>
    <row r="14" customFormat="false" ht="15" hidden="false" customHeight="true" outlineLevel="0" collapsed="false">
      <c r="B14" s="3"/>
    </row>
    <row r="15" customFormat="false" ht="15" hidden="false" customHeight="true" outlineLevel="0" collapsed="false">
      <c r="B15" s="4" t="s">
        <v>9</v>
      </c>
    </row>
    <row r="16" customFormat="false" ht="15" hidden="false" customHeight="true" outlineLevel="0" collapsed="false">
      <c r="B16" s="3" t="s">
        <v>10</v>
      </c>
    </row>
    <row r="17" customFormat="false" ht="15" hidden="false" customHeight="true" outlineLevel="0" collapsed="false">
      <c r="B17" s="3" t="s">
        <v>11</v>
      </c>
    </row>
    <row r="18" customFormat="false" ht="15" hidden="false" customHeight="true" outlineLevel="0" collapsed="false">
      <c r="B18" s="3" t="s">
        <v>12</v>
      </c>
    </row>
    <row r="19" customFormat="false" ht="15" hidden="false" customHeight="true" outlineLevel="0" collapsed="false">
      <c r="B19" s="3" t="s">
        <v>13</v>
      </c>
    </row>
    <row r="20" customFormat="false" ht="15" hidden="false" customHeight="true" outlineLevel="0" collapsed="false">
      <c r="B20" s="3"/>
    </row>
    <row r="21" customFormat="false" ht="15" hidden="false" customHeight="true" outlineLevel="0" collapsed="false">
      <c r="B21" s="4" t="s">
        <v>14</v>
      </c>
    </row>
    <row r="22" customFormat="false" ht="15" hidden="false" customHeight="true" outlineLevel="0" collapsed="false">
      <c r="B22" s="3" t="s">
        <v>15</v>
      </c>
    </row>
    <row r="23" customFormat="false" ht="15" hidden="false" customHeight="true" outlineLevel="0" collapsed="false">
      <c r="B23" s="3" t="s">
        <v>16</v>
      </c>
    </row>
    <row r="24" customFormat="false" ht="15" hidden="false" customHeight="true" outlineLevel="0" collapsed="false">
      <c r="B24" s="3" t="s">
        <v>17</v>
      </c>
    </row>
    <row r="25" customFormat="false" ht="15" hidden="false" customHeight="true" outlineLevel="0" collapsed="false">
      <c r="B25" s="3"/>
    </row>
    <row r="26" customFormat="false" ht="15" hidden="false" customHeight="true" outlineLevel="0" collapsed="false">
      <c r="B26" s="4" t="s">
        <v>18</v>
      </c>
    </row>
    <row r="27" customFormat="false" ht="15" hidden="false" customHeight="true" outlineLevel="0" collapsed="false">
      <c r="B27" s="5" t="s">
        <v>19</v>
      </c>
    </row>
    <row r="28" customFormat="false" ht="15" hidden="false" customHeight="true" outlineLevel="0" collapsed="false">
      <c r="B28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6" t="s">
        <v>23</v>
      </c>
    </row>
    <row r="5" customFormat="false" ht="15" hidden="false" customHeight="false" outlineLevel="0" collapsed="false">
      <c r="A5" s="7" t="s">
        <v>24</v>
      </c>
      <c r="C5" s="8" t="n">
        <v>1000000</v>
      </c>
    </row>
    <row r="7" customFormat="false" ht="15" hidden="false" customHeight="false" outlineLevel="0" collapsed="false">
      <c r="A7" s="6" t="s">
        <v>25</v>
      </c>
    </row>
    <row r="8" customFormat="false" ht="15" hidden="false" customHeight="false" outlineLevel="0" collapsed="false">
      <c r="A8" s="9" t="s">
        <v>26</v>
      </c>
      <c r="B8" s="9"/>
      <c r="C8" s="9" t="s">
        <v>27</v>
      </c>
    </row>
    <row r="9" customFormat="false" ht="15" hidden="false" customHeight="false" outlineLevel="0" collapsed="false">
      <c r="A9" s="7" t="s">
        <v>28</v>
      </c>
      <c r="B9" s="7"/>
      <c r="C9" s="8" t="n">
        <v>250000</v>
      </c>
    </row>
    <row r="10" customFormat="false" ht="15" hidden="false" customHeight="false" outlineLevel="0" collapsed="false">
      <c r="A10" s="7" t="s">
        <v>29</v>
      </c>
      <c r="B10" s="7"/>
      <c r="C10" s="8" t="n">
        <v>150000</v>
      </c>
    </row>
    <row r="11" customFormat="false" ht="15" hidden="false" customHeight="false" outlineLevel="0" collapsed="false">
      <c r="A11" s="7" t="s">
        <v>30</v>
      </c>
      <c r="B11" s="7"/>
      <c r="C11" s="8" t="n">
        <v>40000</v>
      </c>
    </row>
    <row r="12" customFormat="false" ht="15" hidden="false" customHeight="false" outlineLevel="0" collapsed="false">
      <c r="A12" s="7" t="s">
        <v>31</v>
      </c>
      <c r="B12" s="7"/>
      <c r="C12" s="8" t="n">
        <v>60000</v>
      </c>
    </row>
    <row r="13" customFormat="false" ht="15" hidden="false" customHeight="false" outlineLevel="0" collapsed="false">
      <c r="A13" s="7" t="s">
        <v>32</v>
      </c>
      <c r="B13" s="7"/>
      <c r="C13" s="8" t="n">
        <v>150000</v>
      </c>
    </row>
    <row r="14" customFormat="false" ht="15" hidden="false" customHeight="false" outlineLevel="0" collapsed="false">
      <c r="A14" s="7" t="s">
        <v>33</v>
      </c>
      <c r="B14" s="7"/>
      <c r="C14" s="8" t="n">
        <v>80000</v>
      </c>
    </row>
    <row r="15" customFormat="false" ht="15" hidden="false" customHeight="false" outlineLevel="0" collapsed="false">
      <c r="A15" s="7" t="s">
        <v>34</v>
      </c>
      <c r="B15" s="7"/>
      <c r="C15" s="8" t="n">
        <v>50000</v>
      </c>
    </row>
    <row r="16" customFormat="false" ht="15" hidden="false" customHeight="false" outlineLevel="0" collapsed="false">
      <c r="A16" s="10" t="s">
        <v>35</v>
      </c>
      <c r="B16" s="11"/>
      <c r="C16" s="12" t="n">
        <f aca="false">SUM(C9:C15)</f>
        <v>780000</v>
      </c>
    </row>
    <row r="17" customFormat="false" ht="15" hidden="false" customHeight="false" outlineLevel="0" collapsed="false">
      <c r="A17" s="13" t="s">
        <v>36</v>
      </c>
      <c r="C17" s="14" t="n">
        <f aca="false">C5-C16</f>
        <v>220000</v>
      </c>
    </row>
    <row r="19" customFormat="false" ht="15" hidden="false" customHeight="false" outlineLevel="0" collapsed="false">
      <c r="A19" s="6" t="s">
        <v>37</v>
      </c>
    </row>
    <row r="20" customFormat="false" ht="26.85" hidden="false" customHeight="false" outlineLevel="0" collapsed="false">
      <c r="A20" s="9" t="s">
        <v>26</v>
      </c>
      <c r="B20" s="9"/>
      <c r="C20" s="9" t="s">
        <v>38</v>
      </c>
    </row>
    <row r="21" customFormat="false" ht="15" hidden="false" customHeight="false" outlineLevel="0" collapsed="false">
      <c r="A21" s="7" t="s">
        <v>39</v>
      </c>
      <c r="B21" s="7"/>
      <c r="C21" s="8" t="n">
        <v>35000</v>
      </c>
    </row>
    <row r="22" customFormat="false" ht="15" hidden="false" customHeight="false" outlineLevel="0" collapsed="false">
      <c r="A22" s="7" t="s">
        <v>40</v>
      </c>
      <c r="B22" s="7"/>
      <c r="C22" s="8" t="n">
        <v>22000</v>
      </c>
    </row>
    <row r="23" customFormat="false" ht="15" hidden="false" customHeight="false" outlineLevel="0" collapsed="false">
      <c r="A23" s="7" t="s">
        <v>41</v>
      </c>
      <c r="B23" s="7"/>
      <c r="C23" s="8" t="n">
        <v>30000</v>
      </c>
    </row>
    <row r="24" customFormat="false" ht="15" hidden="false" customHeight="false" outlineLevel="0" collapsed="false">
      <c r="A24" s="7" t="s">
        <v>42</v>
      </c>
      <c r="B24" s="7"/>
      <c r="C24" s="8" t="n">
        <v>14000</v>
      </c>
    </row>
    <row r="25" customFormat="false" ht="15" hidden="false" customHeight="false" outlineLevel="0" collapsed="false">
      <c r="A25" s="7" t="s">
        <v>43</v>
      </c>
      <c r="B25" s="7"/>
      <c r="C25" s="8" t="n">
        <v>10000</v>
      </c>
    </row>
    <row r="26" customFormat="false" ht="15" hidden="false" customHeight="false" outlineLevel="0" collapsed="false">
      <c r="A26" s="7" t="s">
        <v>44</v>
      </c>
      <c r="B26" s="7"/>
      <c r="C26" s="8" t="n">
        <v>15000</v>
      </c>
    </row>
    <row r="27" customFormat="false" ht="15" hidden="false" customHeight="false" outlineLevel="0" collapsed="false">
      <c r="A27" s="7" t="s">
        <v>45</v>
      </c>
      <c r="B27" s="7"/>
      <c r="C27" s="8" t="n">
        <v>18000</v>
      </c>
    </row>
    <row r="28" customFormat="false" ht="15" hidden="false" customHeight="false" outlineLevel="0" collapsed="false">
      <c r="A28" s="7" t="s">
        <v>46</v>
      </c>
      <c r="B28" s="7"/>
      <c r="C28" s="8" t="n">
        <v>8000</v>
      </c>
    </row>
    <row r="29" customFormat="false" ht="15" hidden="false" customHeight="false" outlineLevel="0" collapsed="false">
      <c r="A29" s="7" t="s">
        <v>47</v>
      </c>
      <c r="B29" s="7"/>
      <c r="C29" s="8" t="n">
        <v>7000</v>
      </c>
    </row>
    <row r="30" customFormat="false" ht="15" hidden="false" customHeight="false" outlineLevel="0" collapsed="false">
      <c r="A30" s="10" t="s">
        <v>48</v>
      </c>
      <c r="B30" s="11"/>
      <c r="C30" s="12" t="n">
        <f aca="false">SUM(C21:C29)</f>
        <v>159000</v>
      </c>
    </row>
    <row r="32" customFormat="false" ht="15" hidden="false" customHeight="false" outlineLevel="0" collapsed="false">
      <c r="A32" s="6" t="s">
        <v>49</v>
      </c>
    </row>
    <row r="33" customFormat="false" ht="15" hidden="false" customHeight="false" outlineLevel="0" collapsed="false">
      <c r="A33" s="7" t="s">
        <v>50</v>
      </c>
      <c r="C33" s="8" t="n">
        <v>200</v>
      </c>
    </row>
    <row r="34" customFormat="false" ht="15" hidden="false" customHeight="false" outlineLevel="0" collapsed="false">
      <c r="A34" s="7" t="s">
        <v>51</v>
      </c>
      <c r="C34" s="15" t="n">
        <v>0.3</v>
      </c>
    </row>
    <row r="35" customFormat="false" ht="15" hidden="false" customHeight="false" outlineLevel="0" collapsed="false">
      <c r="A35" s="7" t="s">
        <v>52</v>
      </c>
      <c r="C35" s="8" t="n">
        <v>35</v>
      </c>
    </row>
    <row r="37" customFormat="false" ht="15" hidden="false" customHeight="false" outlineLevel="0" collapsed="false">
      <c r="A37" s="6" t="s">
        <v>53</v>
      </c>
    </row>
    <row r="38" customFormat="false" ht="15" hidden="false" customHeight="false" outlineLevel="0" collapsed="false">
      <c r="A38" s="7" t="s">
        <v>54</v>
      </c>
      <c r="C38" s="8" t="n">
        <v>132</v>
      </c>
    </row>
    <row r="39" customFormat="false" ht="15" hidden="false" customHeight="false" outlineLevel="0" collapsed="false">
      <c r="A39" s="7" t="s">
        <v>51</v>
      </c>
      <c r="C39" s="15" t="n">
        <v>0.3</v>
      </c>
    </row>
    <row r="40" customFormat="false" ht="15" hidden="false" customHeight="false" outlineLevel="0" collapsed="false">
      <c r="A40" s="7" t="s">
        <v>55</v>
      </c>
      <c r="C40" s="8" t="n">
        <v>15</v>
      </c>
    </row>
    <row r="42" customFormat="false" ht="15" hidden="false" customHeight="false" outlineLevel="0" collapsed="false">
      <c r="A42" s="6" t="s">
        <v>56</v>
      </c>
    </row>
    <row r="43" customFormat="false" ht="15" hidden="false" customHeight="false" outlineLevel="0" collapsed="false">
      <c r="A43" s="9" t="s">
        <v>57</v>
      </c>
      <c r="B43" s="9" t="s">
        <v>58</v>
      </c>
    </row>
    <row r="44" customFormat="false" ht="15" hidden="false" customHeight="false" outlineLevel="0" collapsed="false">
      <c r="A44" s="7" t="s">
        <v>59</v>
      </c>
      <c r="B44" s="16" t="n">
        <v>15</v>
      </c>
    </row>
    <row r="45" customFormat="false" ht="15" hidden="false" customHeight="false" outlineLevel="0" collapsed="false">
      <c r="A45" s="7" t="s">
        <v>60</v>
      </c>
      <c r="B45" s="16" t="n">
        <v>25</v>
      </c>
    </row>
    <row r="46" customFormat="false" ht="15" hidden="false" customHeight="false" outlineLevel="0" collapsed="false">
      <c r="A46" s="7" t="s">
        <v>61</v>
      </c>
      <c r="B46" s="16" t="n">
        <v>35</v>
      </c>
    </row>
    <row r="47" customFormat="false" ht="15" hidden="false" customHeight="false" outlineLevel="0" collapsed="false">
      <c r="A47" s="7" t="s">
        <v>62</v>
      </c>
      <c r="B47" s="16" t="n">
        <v>45</v>
      </c>
    </row>
    <row r="48" customFormat="false" ht="15" hidden="false" customHeight="false" outlineLevel="0" collapsed="false">
      <c r="A48" s="7" t="s">
        <v>63</v>
      </c>
      <c r="B48" s="16" t="n">
        <v>55</v>
      </c>
    </row>
    <row r="49" customFormat="false" ht="15" hidden="false" customHeight="false" outlineLevel="0" collapsed="false">
      <c r="A49" s="7" t="s">
        <v>64</v>
      </c>
      <c r="B49" s="16" t="n">
        <v>65</v>
      </c>
    </row>
    <row r="50" customFormat="false" ht="15" hidden="false" customHeight="false" outlineLevel="0" collapsed="false">
      <c r="A50" s="7" t="s">
        <v>65</v>
      </c>
      <c r="B50" s="16" t="n">
        <v>72</v>
      </c>
    </row>
    <row r="51" customFormat="false" ht="15" hidden="false" customHeight="false" outlineLevel="0" collapsed="false">
      <c r="A51" s="7" t="s">
        <v>66</v>
      </c>
      <c r="B51" s="16" t="n">
        <v>80</v>
      </c>
    </row>
    <row r="52" customFormat="false" ht="15" hidden="false" customHeight="false" outlineLevel="0" collapsed="false">
      <c r="A52" s="7" t="s">
        <v>67</v>
      </c>
      <c r="B52" s="16" t="n">
        <v>80</v>
      </c>
    </row>
    <row r="53" customFormat="false" ht="15" hidden="false" customHeight="false" outlineLevel="0" collapsed="false">
      <c r="A53" s="7" t="s">
        <v>68</v>
      </c>
      <c r="B53" s="16" t="n">
        <v>80</v>
      </c>
    </row>
    <row r="54" customFormat="false" ht="15" hidden="false" customHeight="false" outlineLevel="0" collapsed="false">
      <c r="A54" s="7" t="s">
        <v>69</v>
      </c>
      <c r="B54" s="16" t="n">
        <v>80</v>
      </c>
    </row>
    <row r="55" customFormat="false" ht="15" hidden="false" customHeight="false" outlineLevel="0" collapsed="false">
      <c r="A55" s="7" t="s">
        <v>70</v>
      </c>
      <c r="B55" s="16" t="n">
        <v>80</v>
      </c>
    </row>
    <row r="56" customFormat="false" ht="15" hidden="false" customHeight="false" outlineLevel="0" collapsed="false">
      <c r="A56" s="7" t="s">
        <v>71</v>
      </c>
      <c r="B56" s="16" t="n">
        <v>80</v>
      </c>
    </row>
    <row r="57" customFormat="false" ht="15" hidden="false" customHeight="false" outlineLevel="0" collapsed="false">
      <c r="A57" s="7" t="s">
        <v>72</v>
      </c>
      <c r="B57" s="16" t="n">
        <v>80</v>
      </c>
    </row>
    <row r="58" customFormat="false" ht="15" hidden="false" customHeight="false" outlineLevel="0" collapsed="false">
      <c r="A58" s="7" t="s">
        <v>73</v>
      </c>
      <c r="B58" s="16" t="n">
        <v>80</v>
      </c>
    </row>
    <row r="59" customFormat="false" ht="15" hidden="false" customHeight="false" outlineLevel="0" collapsed="false">
      <c r="A59" s="7" t="s">
        <v>74</v>
      </c>
      <c r="B59" s="16" t="n">
        <v>80</v>
      </c>
    </row>
    <row r="60" customFormat="false" ht="15" hidden="false" customHeight="false" outlineLevel="0" collapsed="false">
      <c r="A60" s="7" t="s">
        <v>75</v>
      </c>
      <c r="B60" s="16" t="n">
        <v>80</v>
      </c>
    </row>
    <row r="61" customFormat="false" ht="15" hidden="false" customHeight="false" outlineLevel="0" collapsed="false">
      <c r="A61" s="7" t="s">
        <v>76</v>
      </c>
      <c r="B61" s="16" t="n">
        <v>80</v>
      </c>
    </row>
    <row r="63" customFormat="false" ht="15" hidden="false" customHeight="false" outlineLevel="0" collapsed="false">
      <c r="A63" s="6" t="s">
        <v>77</v>
      </c>
    </row>
    <row r="64" customFormat="false" ht="15" hidden="false" customHeight="false" outlineLevel="0" collapsed="false">
      <c r="A64" s="9" t="s">
        <v>57</v>
      </c>
      <c r="B64" s="9" t="s">
        <v>78</v>
      </c>
    </row>
    <row r="65" customFormat="false" ht="15" hidden="false" customHeight="false" outlineLevel="0" collapsed="false">
      <c r="A65" s="7" t="s">
        <v>59</v>
      </c>
      <c r="B65" s="16" t="n">
        <v>10</v>
      </c>
    </row>
    <row r="66" customFormat="false" ht="15" hidden="false" customHeight="false" outlineLevel="0" collapsed="false">
      <c r="A66" s="7" t="s">
        <v>60</v>
      </c>
      <c r="B66" s="16" t="n">
        <v>20</v>
      </c>
    </row>
    <row r="67" customFormat="false" ht="15" hidden="false" customHeight="false" outlineLevel="0" collapsed="false">
      <c r="A67" s="7" t="s">
        <v>61</v>
      </c>
      <c r="B67" s="16" t="n">
        <v>35</v>
      </c>
    </row>
    <row r="68" customFormat="false" ht="15" hidden="false" customHeight="false" outlineLevel="0" collapsed="false">
      <c r="A68" s="7" t="s">
        <v>62</v>
      </c>
      <c r="B68" s="16" t="n">
        <v>50</v>
      </c>
    </row>
    <row r="69" customFormat="false" ht="15" hidden="false" customHeight="false" outlineLevel="0" collapsed="false">
      <c r="A69" s="7" t="s">
        <v>63</v>
      </c>
      <c r="B69" s="16" t="n">
        <v>70</v>
      </c>
    </row>
    <row r="70" customFormat="false" ht="15" hidden="false" customHeight="false" outlineLevel="0" collapsed="false">
      <c r="A70" s="7" t="s">
        <v>64</v>
      </c>
      <c r="B70" s="16" t="n">
        <v>90</v>
      </c>
    </row>
    <row r="71" customFormat="false" ht="15" hidden="false" customHeight="false" outlineLevel="0" collapsed="false">
      <c r="A71" s="7" t="s">
        <v>65</v>
      </c>
      <c r="B71" s="16" t="n">
        <v>105</v>
      </c>
    </row>
    <row r="72" customFormat="false" ht="15" hidden="false" customHeight="false" outlineLevel="0" collapsed="false">
      <c r="A72" s="7" t="s">
        <v>66</v>
      </c>
      <c r="B72" s="16" t="n">
        <v>120</v>
      </c>
    </row>
    <row r="73" customFormat="false" ht="15" hidden="false" customHeight="false" outlineLevel="0" collapsed="false">
      <c r="A73" s="7" t="s">
        <v>67</v>
      </c>
      <c r="B73" s="16" t="n">
        <v>120</v>
      </c>
    </row>
    <row r="74" customFormat="false" ht="15" hidden="false" customHeight="false" outlineLevel="0" collapsed="false">
      <c r="A74" s="7" t="s">
        <v>68</v>
      </c>
      <c r="B74" s="16" t="n">
        <v>120</v>
      </c>
    </row>
    <row r="75" customFormat="false" ht="15" hidden="false" customHeight="false" outlineLevel="0" collapsed="false">
      <c r="A75" s="7" t="s">
        <v>69</v>
      </c>
      <c r="B75" s="16" t="n">
        <v>120</v>
      </c>
    </row>
    <row r="76" customFormat="false" ht="15" hidden="false" customHeight="false" outlineLevel="0" collapsed="false">
      <c r="A76" s="7" t="s">
        <v>70</v>
      </c>
      <c r="B76" s="16" t="n">
        <v>120</v>
      </c>
    </row>
    <row r="77" customFormat="false" ht="15" hidden="false" customHeight="false" outlineLevel="0" collapsed="false">
      <c r="A77" s="7" t="s">
        <v>71</v>
      </c>
      <c r="B77" s="16" t="n">
        <v>120</v>
      </c>
    </row>
    <row r="78" customFormat="false" ht="15" hidden="false" customHeight="false" outlineLevel="0" collapsed="false">
      <c r="A78" s="7" t="s">
        <v>72</v>
      </c>
      <c r="B78" s="16" t="n">
        <v>120</v>
      </c>
    </row>
    <row r="79" customFormat="false" ht="15" hidden="false" customHeight="false" outlineLevel="0" collapsed="false">
      <c r="A79" s="7" t="s">
        <v>73</v>
      </c>
      <c r="B79" s="16" t="n">
        <v>120</v>
      </c>
    </row>
    <row r="80" customFormat="false" ht="15" hidden="false" customHeight="false" outlineLevel="0" collapsed="false">
      <c r="A80" s="7" t="s">
        <v>74</v>
      </c>
      <c r="B80" s="16" t="n">
        <v>120</v>
      </c>
    </row>
    <row r="81" customFormat="false" ht="15" hidden="false" customHeight="false" outlineLevel="0" collapsed="false">
      <c r="A81" s="7" t="s">
        <v>75</v>
      </c>
      <c r="B81" s="16" t="n">
        <v>120</v>
      </c>
    </row>
    <row r="82" customFormat="false" ht="15" hidden="false" customHeight="false" outlineLevel="0" collapsed="false">
      <c r="A82" s="7" t="s">
        <v>76</v>
      </c>
      <c r="B82" s="16" t="n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3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6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26.85" hidden="false" customHeight="false" outlineLevel="0" collapsed="false">
      <c r="A4" s="9" t="s">
        <v>57</v>
      </c>
      <c r="B4" s="9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89</v>
      </c>
      <c r="K4" s="9" t="s">
        <v>90</v>
      </c>
      <c r="L4" s="9" t="s">
        <v>91</v>
      </c>
      <c r="M4" s="9" t="s">
        <v>92</v>
      </c>
      <c r="N4" s="9" t="s">
        <v>93</v>
      </c>
      <c r="O4" s="9" t="s">
        <v>94</v>
      </c>
    </row>
    <row r="5" customFormat="false" ht="15" hidden="false" customHeight="false" outlineLevel="0" collapsed="false">
      <c r="A5" s="7" t="s">
        <v>59</v>
      </c>
      <c r="B5" s="17" t="n">
        <f aca="false">Assumptions!$B$44</f>
        <v>15</v>
      </c>
      <c r="C5" s="17" t="n">
        <f aca="false">Assumptions!$B$65</f>
        <v>10</v>
      </c>
      <c r="D5" s="18" t="n">
        <f aca="false">B5*30*Assumptions!$C$33</f>
        <v>90000</v>
      </c>
      <c r="E5" s="18" t="n">
        <f aca="false">D5-D5*Assumptions!$C$34-B5*30*Assumptions!$C$35</f>
        <v>47250</v>
      </c>
      <c r="F5" s="18" t="n">
        <f aca="false">C5*30*Assumptions!$C$38</f>
        <v>39600</v>
      </c>
      <c r="G5" s="18" t="n">
        <f aca="false">F5-F5*Assumptions!$C$39-C5*30*Assumptions!$C$40</f>
        <v>23220</v>
      </c>
      <c r="H5" s="18" t="n">
        <f aca="false">D5+F5</f>
        <v>129600</v>
      </c>
      <c r="I5" s="18" t="n">
        <f aca="false">E5+G5</f>
        <v>70470</v>
      </c>
      <c r="J5" s="18" t="n">
        <f aca="false">Assumptions!$C$30</f>
        <v>159000</v>
      </c>
      <c r="K5" s="18" t="n">
        <f aca="false">I5-J5</f>
        <v>-88530</v>
      </c>
      <c r="L5" s="18" t="n">
        <f aca="false">K5</f>
        <v>-88530</v>
      </c>
      <c r="M5" s="18" t="n">
        <f aca="false">Assumptions!$C$17+L5</f>
        <v>131470</v>
      </c>
      <c r="N5" s="19" t="n">
        <f aca="false">IF(K5&gt;0,1,0)</f>
        <v>0</v>
      </c>
      <c r="O5" s="19" t="n">
        <f aca="false">IF(L5&gt;=Assumptions!$C$5,1,0)</f>
        <v>0</v>
      </c>
    </row>
    <row r="6" customFormat="false" ht="15" hidden="false" customHeight="false" outlineLevel="0" collapsed="false">
      <c r="A6" s="7" t="s">
        <v>60</v>
      </c>
      <c r="B6" s="17" t="n">
        <f aca="false">Assumptions!$B$45</f>
        <v>25</v>
      </c>
      <c r="C6" s="17" t="n">
        <f aca="false">Assumptions!$B$66</f>
        <v>20</v>
      </c>
      <c r="D6" s="18" t="n">
        <f aca="false">B6*30*Assumptions!$C$33</f>
        <v>150000</v>
      </c>
      <c r="E6" s="18" t="n">
        <f aca="false">D6-D6*Assumptions!$C$34-B6*30*Assumptions!$C$35</f>
        <v>78750</v>
      </c>
      <c r="F6" s="18" t="n">
        <f aca="false">C6*30*Assumptions!$C$38</f>
        <v>79200</v>
      </c>
      <c r="G6" s="18" t="n">
        <f aca="false">F6-F6*Assumptions!$C$39-C6*30*Assumptions!$C$40</f>
        <v>46440</v>
      </c>
      <c r="H6" s="18" t="n">
        <f aca="false">D6+F6</f>
        <v>229200</v>
      </c>
      <c r="I6" s="18" t="n">
        <f aca="false">E6+G6</f>
        <v>125190</v>
      </c>
      <c r="J6" s="18" t="n">
        <f aca="false">Assumptions!$C$30</f>
        <v>159000</v>
      </c>
      <c r="K6" s="18" t="n">
        <f aca="false">I6-J6</f>
        <v>-33810</v>
      </c>
      <c r="L6" s="18" t="n">
        <f aca="false">L5+K6</f>
        <v>-122340</v>
      </c>
      <c r="M6" s="18" t="n">
        <f aca="false">Assumptions!$C$17+L6</f>
        <v>97660</v>
      </c>
      <c r="N6" s="19" t="n">
        <f aca="false">IF(K6&gt;0,1,0)</f>
        <v>0</v>
      </c>
      <c r="O6" s="19" t="n">
        <f aca="false">IF(L6&gt;=Assumptions!$C$5,1,0)</f>
        <v>0</v>
      </c>
    </row>
    <row r="7" customFormat="false" ht="15" hidden="false" customHeight="false" outlineLevel="0" collapsed="false">
      <c r="A7" s="7" t="s">
        <v>61</v>
      </c>
      <c r="B7" s="17" t="n">
        <f aca="false">Assumptions!$B$46</f>
        <v>35</v>
      </c>
      <c r="C7" s="17" t="n">
        <f aca="false">Assumptions!$B$67</f>
        <v>35</v>
      </c>
      <c r="D7" s="18" t="n">
        <f aca="false">B7*30*Assumptions!$C$33</f>
        <v>210000</v>
      </c>
      <c r="E7" s="18" t="n">
        <f aca="false">D7-D7*Assumptions!$C$34-B7*30*Assumptions!$C$35</f>
        <v>110250</v>
      </c>
      <c r="F7" s="18" t="n">
        <f aca="false">C7*30*Assumptions!$C$38</f>
        <v>138600</v>
      </c>
      <c r="G7" s="18" t="n">
        <f aca="false">F7-F7*Assumptions!$C$39-C7*30*Assumptions!$C$40</f>
        <v>81270</v>
      </c>
      <c r="H7" s="18" t="n">
        <f aca="false">D7+F7</f>
        <v>348600</v>
      </c>
      <c r="I7" s="18" t="n">
        <f aca="false">E7+G7</f>
        <v>191520</v>
      </c>
      <c r="J7" s="18" t="n">
        <f aca="false">Assumptions!$C$30</f>
        <v>159000</v>
      </c>
      <c r="K7" s="18" t="n">
        <f aca="false">I7-J7</f>
        <v>32520</v>
      </c>
      <c r="L7" s="18" t="n">
        <f aca="false">L6+K7</f>
        <v>-89820</v>
      </c>
      <c r="M7" s="18" t="n">
        <f aca="false">Assumptions!$C$17+L7</f>
        <v>130180</v>
      </c>
      <c r="N7" s="19" t="n">
        <f aca="false">IF(K7&gt;0,1,0)</f>
        <v>1</v>
      </c>
      <c r="O7" s="19" t="n">
        <f aca="false">IF(L7&gt;=Assumptions!$C$5,1,0)</f>
        <v>0</v>
      </c>
    </row>
    <row r="8" customFormat="false" ht="15" hidden="false" customHeight="false" outlineLevel="0" collapsed="false">
      <c r="A8" s="7" t="s">
        <v>62</v>
      </c>
      <c r="B8" s="17" t="n">
        <f aca="false">Assumptions!$B$47</f>
        <v>45</v>
      </c>
      <c r="C8" s="17" t="n">
        <f aca="false">Assumptions!$B$68</f>
        <v>50</v>
      </c>
      <c r="D8" s="18" t="n">
        <f aca="false">B8*30*Assumptions!$C$33</f>
        <v>270000</v>
      </c>
      <c r="E8" s="18" t="n">
        <f aca="false">D8-D8*Assumptions!$C$34-B8*30*Assumptions!$C$35</f>
        <v>141750</v>
      </c>
      <c r="F8" s="18" t="n">
        <f aca="false">C8*30*Assumptions!$C$38</f>
        <v>198000</v>
      </c>
      <c r="G8" s="18" t="n">
        <f aca="false">F8-F8*Assumptions!$C$39-C8*30*Assumptions!$C$40</f>
        <v>116100</v>
      </c>
      <c r="H8" s="18" t="n">
        <f aca="false">D8+F8</f>
        <v>468000</v>
      </c>
      <c r="I8" s="18" t="n">
        <f aca="false">E8+G8</f>
        <v>257850</v>
      </c>
      <c r="J8" s="18" t="n">
        <f aca="false">Assumptions!$C$30</f>
        <v>159000</v>
      </c>
      <c r="K8" s="18" t="n">
        <f aca="false">I8-J8</f>
        <v>98850</v>
      </c>
      <c r="L8" s="18" t="n">
        <f aca="false">L7+K8</f>
        <v>9030</v>
      </c>
      <c r="M8" s="18" t="n">
        <f aca="false">Assumptions!$C$17+L8</f>
        <v>229030</v>
      </c>
      <c r="N8" s="19" t="n">
        <f aca="false">IF(K8&gt;0,1,0)</f>
        <v>1</v>
      </c>
      <c r="O8" s="19" t="n">
        <f aca="false">IF(L8&gt;=Assumptions!$C$5,1,0)</f>
        <v>0</v>
      </c>
    </row>
    <row r="9" customFormat="false" ht="15" hidden="false" customHeight="false" outlineLevel="0" collapsed="false">
      <c r="A9" s="7" t="s">
        <v>63</v>
      </c>
      <c r="B9" s="17" t="n">
        <f aca="false">Assumptions!$B$48</f>
        <v>55</v>
      </c>
      <c r="C9" s="17" t="n">
        <f aca="false">Assumptions!$B$69</f>
        <v>70</v>
      </c>
      <c r="D9" s="18" t="n">
        <f aca="false">B9*30*Assumptions!$C$33</f>
        <v>330000</v>
      </c>
      <c r="E9" s="18" t="n">
        <f aca="false">D9-D9*Assumptions!$C$34-B9*30*Assumptions!$C$35</f>
        <v>173250</v>
      </c>
      <c r="F9" s="18" t="n">
        <f aca="false">C9*30*Assumptions!$C$38</f>
        <v>277200</v>
      </c>
      <c r="G9" s="18" t="n">
        <f aca="false">F9-F9*Assumptions!$C$39-C9*30*Assumptions!$C$40</f>
        <v>162540</v>
      </c>
      <c r="H9" s="18" t="n">
        <f aca="false">D9+F9</f>
        <v>607200</v>
      </c>
      <c r="I9" s="18" t="n">
        <f aca="false">E9+G9</f>
        <v>335790</v>
      </c>
      <c r="J9" s="18" t="n">
        <f aca="false">Assumptions!$C$30</f>
        <v>159000</v>
      </c>
      <c r="K9" s="18" t="n">
        <f aca="false">I9-J9</f>
        <v>176790</v>
      </c>
      <c r="L9" s="18" t="n">
        <f aca="false">L8+K9</f>
        <v>185820</v>
      </c>
      <c r="M9" s="18" t="n">
        <f aca="false">Assumptions!$C$17+L9</f>
        <v>405820</v>
      </c>
      <c r="N9" s="19" t="n">
        <f aca="false">IF(K9&gt;0,1,0)</f>
        <v>1</v>
      </c>
      <c r="O9" s="19" t="n">
        <f aca="false">IF(L9&gt;=Assumptions!$C$5,1,0)</f>
        <v>0</v>
      </c>
    </row>
    <row r="10" customFormat="false" ht="15" hidden="false" customHeight="false" outlineLevel="0" collapsed="false">
      <c r="A10" s="7" t="s">
        <v>64</v>
      </c>
      <c r="B10" s="17" t="n">
        <f aca="false">Assumptions!$B$49</f>
        <v>65</v>
      </c>
      <c r="C10" s="17" t="n">
        <f aca="false">Assumptions!$B$70</f>
        <v>90</v>
      </c>
      <c r="D10" s="18" t="n">
        <f aca="false">B10*30*Assumptions!$C$33</f>
        <v>390000</v>
      </c>
      <c r="E10" s="18" t="n">
        <f aca="false">D10-D10*Assumptions!$C$34-B10*30*Assumptions!$C$35</f>
        <v>204750</v>
      </c>
      <c r="F10" s="18" t="n">
        <f aca="false">C10*30*Assumptions!$C$38</f>
        <v>356400</v>
      </c>
      <c r="G10" s="18" t="n">
        <f aca="false">F10-F10*Assumptions!$C$39-C10*30*Assumptions!$C$40</f>
        <v>208980</v>
      </c>
      <c r="H10" s="18" t="n">
        <f aca="false">D10+F10</f>
        <v>746400</v>
      </c>
      <c r="I10" s="18" t="n">
        <f aca="false">E10+G10</f>
        <v>413730</v>
      </c>
      <c r="J10" s="18" t="n">
        <f aca="false">Assumptions!$C$30</f>
        <v>159000</v>
      </c>
      <c r="K10" s="18" t="n">
        <f aca="false">I10-J10</f>
        <v>254730</v>
      </c>
      <c r="L10" s="18" t="n">
        <f aca="false">L9+K10</f>
        <v>440550</v>
      </c>
      <c r="M10" s="18" t="n">
        <f aca="false">Assumptions!$C$17+L10</f>
        <v>660550</v>
      </c>
      <c r="N10" s="19" t="n">
        <f aca="false">IF(K10&gt;0,1,0)</f>
        <v>1</v>
      </c>
      <c r="O10" s="19" t="n">
        <f aca="false">IF(L10&gt;=Assumptions!$C$5,1,0)</f>
        <v>0</v>
      </c>
    </row>
    <row r="11" customFormat="false" ht="15" hidden="false" customHeight="false" outlineLevel="0" collapsed="false">
      <c r="A11" s="7" t="s">
        <v>65</v>
      </c>
      <c r="B11" s="17" t="n">
        <f aca="false">Assumptions!$B$50</f>
        <v>72</v>
      </c>
      <c r="C11" s="17" t="n">
        <f aca="false">Assumptions!$B$71</f>
        <v>105</v>
      </c>
      <c r="D11" s="18" t="n">
        <f aca="false">B11*30*Assumptions!$C$33</f>
        <v>432000</v>
      </c>
      <c r="E11" s="18" t="n">
        <f aca="false">D11-D11*Assumptions!$C$34-B11*30*Assumptions!$C$35</f>
        <v>226800</v>
      </c>
      <c r="F11" s="18" t="n">
        <f aca="false">C11*30*Assumptions!$C$38</f>
        <v>415800</v>
      </c>
      <c r="G11" s="18" t="n">
        <f aca="false">F11-F11*Assumptions!$C$39-C11*30*Assumptions!$C$40</f>
        <v>243810</v>
      </c>
      <c r="H11" s="18" t="n">
        <f aca="false">D11+F11</f>
        <v>847800</v>
      </c>
      <c r="I11" s="18" t="n">
        <f aca="false">E11+G11</f>
        <v>470610</v>
      </c>
      <c r="J11" s="18" t="n">
        <f aca="false">Assumptions!$C$30</f>
        <v>159000</v>
      </c>
      <c r="K11" s="18" t="n">
        <f aca="false">I11-J11</f>
        <v>311610</v>
      </c>
      <c r="L11" s="18" t="n">
        <f aca="false">L10+K11</f>
        <v>752160</v>
      </c>
      <c r="M11" s="18" t="n">
        <f aca="false">Assumptions!$C$17+L11</f>
        <v>972160</v>
      </c>
      <c r="N11" s="19" t="n">
        <f aca="false">IF(K11&gt;0,1,0)</f>
        <v>1</v>
      </c>
      <c r="O11" s="19" t="n">
        <f aca="false">IF(L11&gt;=Assumptions!$C$5,1,0)</f>
        <v>0</v>
      </c>
    </row>
    <row r="12" customFormat="false" ht="15" hidden="false" customHeight="false" outlineLevel="0" collapsed="false">
      <c r="A12" s="7" t="s">
        <v>66</v>
      </c>
      <c r="B12" s="17" t="n">
        <f aca="false">Assumptions!$B$51</f>
        <v>80</v>
      </c>
      <c r="C12" s="17" t="n">
        <f aca="false">Assumptions!$B$72</f>
        <v>120</v>
      </c>
      <c r="D12" s="18" t="n">
        <f aca="false">B12*30*Assumptions!$C$33</f>
        <v>480000</v>
      </c>
      <c r="E12" s="18" t="n">
        <f aca="false">D12-D12*Assumptions!$C$34-B12*30*Assumptions!$C$35</f>
        <v>252000</v>
      </c>
      <c r="F12" s="18" t="n">
        <f aca="false">C12*30*Assumptions!$C$38</f>
        <v>475200</v>
      </c>
      <c r="G12" s="18" t="n">
        <f aca="false">F12-F12*Assumptions!$C$39-C12*30*Assumptions!$C$40</f>
        <v>278640</v>
      </c>
      <c r="H12" s="18" t="n">
        <f aca="false">D12+F12</f>
        <v>955200</v>
      </c>
      <c r="I12" s="18" t="n">
        <f aca="false">E12+G12</f>
        <v>530640</v>
      </c>
      <c r="J12" s="18" t="n">
        <f aca="false">Assumptions!$C$30</f>
        <v>159000</v>
      </c>
      <c r="K12" s="18" t="n">
        <f aca="false">I12-J12</f>
        <v>371640</v>
      </c>
      <c r="L12" s="18" t="n">
        <f aca="false">L11+K12</f>
        <v>1123800</v>
      </c>
      <c r="M12" s="18" t="n">
        <f aca="false">Assumptions!$C$17+L12</f>
        <v>1343800</v>
      </c>
      <c r="N12" s="19" t="n">
        <f aca="false">IF(K12&gt;0,1,0)</f>
        <v>1</v>
      </c>
      <c r="O12" s="19" t="n">
        <f aca="false">IF(L12&gt;=Assumptions!$C$5,1,0)</f>
        <v>1</v>
      </c>
    </row>
    <row r="13" customFormat="false" ht="15" hidden="false" customHeight="false" outlineLevel="0" collapsed="false">
      <c r="A13" s="7" t="s">
        <v>67</v>
      </c>
      <c r="B13" s="17" t="n">
        <f aca="false">Assumptions!$B$52</f>
        <v>80</v>
      </c>
      <c r="C13" s="17" t="n">
        <f aca="false">Assumptions!$B$73</f>
        <v>120</v>
      </c>
      <c r="D13" s="18" t="n">
        <f aca="false">B13*30*Assumptions!$C$33</f>
        <v>480000</v>
      </c>
      <c r="E13" s="18" t="n">
        <f aca="false">D13-D13*Assumptions!$C$34-B13*30*Assumptions!$C$35</f>
        <v>252000</v>
      </c>
      <c r="F13" s="18" t="n">
        <f aca="false">C13*30*Assumptions!$C$38</f>
        <v>475200</v>
      </c>
      <c r="G13" s="18" t="n">
        <f aca="false">F13-F13*Assumptions!$C$39-C13*30*Assumptions!$C$40</f>
        <v>278640</v>
      </c>
      <c r="H13" s="18" t="n">
        <f aca="false">D13+F13</f>
        <v>955200</v>
      </c>
      <c r="I13" s="18" t="n">
        <f aca="false">E13+G13</f>
        <v>530640</v>
      </c>
      <c r="J13" s="18" t="n">
        <f aca="false">Assumptions!$C$30</f>
        <v>159000</v>
      </c>
      <c r="K13" s="18" t="n">
        <f aca="false">I13-J13</f>
        <v>371640</v>
      </c>
      <c r="L13" s="18" t="n">
        <f aca="false">L12+K13</f>
        <v>1495440</v>
      </c>
      <c r="M13" s="18" t="n">
        <f aca="false">Assumptions!$C$17+L13</f>
        <v>1715440</v>
      </c>
      <c r="N13" s="19" t="n">
        <f aca="false">IF(K13&gt;0,1,0)</f>
        <v>1</v>
      </c>
      <c r="O13" s="19" t="n">
        <f aca="false">IF(L13&gt;=Assumptions!$C$5,1,0)</f>
        <v>1</v>
      </c>
    </row>
    <row r="14" customFormat="false" ht="15" hidden="false" customHeight="false" outlineLevel="0" collapsed="false">
      <c r="A14" s="7" t="s">
        <v>68</v>
      </c>
      <c r="B14" s="17" t="n">
        <f aca="false">Assumptions!$B$53</f>
        <v>80</v>
      </c>
      <c r="C14" s="17" t="n">
        <f aca="false">Assumptions!$B$74</f>
        <v>120</v>
      </c>
      <c r="D14" s="18" t="n">
        <f aca="false">B14*30*Assumptions!$C$33</f>
        <v>480000</v>
      </c>
      <c r="E14" s="18" t="n">
        <f aca="false">D14-D14*Assumptions!$C$34-B14*30*Assumptions!$C$35</f>
        <v>252000</v>
      </c>
      <c r="F14" s="18" t="n">
        <f aca="false">C14*30*Assumptions!$C$38</f>
        <v>475200</v>
      </c>
      <c r="G14" s="18" t="n">
        <f aca="false">F14-F14*Assumptions!$C$39-C14*30*Assumptions!$C$40</f>
        <v>278640</v>
      </c>
      <c r="H14" s="18" t="n">
        <f aca="false">D14+F14</f>
        <v>955200</v>
      </c>
      <c r="I14" s="18" t="n">
        <f aca="false">E14+G14</f>
        <v>530640</v>
      </c>
      <c r="J14" s="18" t="n">
        <f aca="false">Assumptions!$C$30</f>
        <v>159000</v>
      </c>
      <c r="K14" s="18" t="n">
        <f aca="false">I14-J14</f>
        <v>371640</v>
      </c>
      <c r="L14" s="18" t="n">
        <f aca="false">L13+K14</f>
        <v>1867080</v>
      </c>
      <c r="M14" s="18" t="n">
        <f aca="false">Assumptions!$C$17+L14</f>
        <v>2087080</v>
      </c>
      <c r="N14" s="19" t="n">
        <f aca="false">IF(K14&gt;0,1,0)</f>
        <v>1</v>
      </c>
      <c r="O14" s="19" t="n">
        <f aca="false">IF(L14&gt;=Assumptions!$C$5,1,0)</f>
        <v>1</v>
      </c>
    </row>
    <row r="15" customFormat="false" ht="15" hidden="false" customHeight="false" outlineLevel="0" collapsed="false">
      <c r="A15" s="7" t="s">
        <v>69</v>
      </c>
      <c r="B15" s="17" t="n">
        <f aca="false">Assumptions!$B$54</f>
        <v>80</v>
      </c>
      <c r="C15" s="17" t="n">
        <f aca="false">Assumptions!$B$75</f>
        <v>120</v>
      </c>
      <c r="D15" s="18" t="n">
        <f aca="false">B15*30*Assumptions!$C$33</f>
        <v>480000</v>
      </c>
      <c r="E15" s="18" t="n">
        <f aca="false">D15-D15*Assumptions!$C$34-B15*30*Assumptions!$C$35</f>
        <v>252000</v>
      </c>
      <c r="F15" s="18" t="n">
        <f aca="false">C15*30*Assumptions!$C$38</f>
        <v>475200</v>
      </c>
      <c r="G15" s="18" t="n">
        <f aca="false">F15-F15*Assumptions!$C$39-C15*30*Assumptions!$C$40</f>
        <v>278640</v>
      </c>
      <c r="H15" s="18" t="n">
        <f aca="false">D15+F15</f>
        <v>955200</v>
      </c>
      <c r="I15" s="18" t="n">
        <f aca="false">E15+G15</f>
        <v>530640</v>
      </c>
      <c r="J15" s="18" t="n">
        <f aca="false">Assumptions!$C$30</f>
        <v>159000</v>
      </c>
      <c r="K15" s="18" t="n">
        <f aca="false">I15-J15</f>
        <v>371640</v>
      </c>
      <c r="L15" s="18" t="n">
        <f aca="false">L14+K15</f>
        <v>2238720</v>
      </c>
      <c r="M15" s="18" t="n">
        <f aca="false">Assumptions!$C$17+L15</f>
        <v>2458720</v>
      </c>
      <c r="N15" s="19" t="n">
        <f aca="false">IF(K15&gt;0,1,0)</f>
        <v>1</v>
      </c>
      <c r="O15" s="19" t="n">
        <f aca="false">IF(L15&gt;=Assumptions!$C$5,1,0)</f>
        <v>1</v>
      </c>
    </row>
    <row r="16" customFormat="false" ht="15" hidden="false" customHeight="false" outlineLevel="0" collapsed="false">
      <c r="A16" s="7" t="s">
        <v>70</v>
      </c>
      <c r="B16" s="17" t="n">
        <f aca="false">Assumptions!$B$55</f>
        <v>80</v>
      </c>
      <c r="C16" s="17" t="n">
        <f aca="false">Assumptions!$B$76</f>
        <v>120</v>
      </c>
      <c r="D16" s="18" t="n">
        <f aca="false">B16*30*Assumptions!$C$33</f>
        <v>480000</v>
      </c>
      <c r="E16" s="18" t="n">
        <f aca="false">D16-D16*Assumptions!$C$34-B16*30*Assumptions!$C$35</f>
        <v>252000</v>
      </c>
      <c r="F16" s="18" t="n">
        <f aca="false">C16*30*Assumptions!$C$38</f>
        <v>475200</v>
      </c>
      <c r="G16" s="18" t="n">
        <f aca="false">F16-F16*Assumptions!$C$39-C16*30*Assumptions!$C$40</f>
        <v>278640</v>
      </c>
      <c r="H16" s="18" t="n">
        <f aca="false">D16+F16</f>
        <v>955200</v>
      </c>
      <c r="I16" s="18" t="n">
        <f aca="false">E16+G16</f>
        <v>530640</v>
      </c>
      <c r="J16" s="18" t="n">
        <f aca="false">Assumptions!$C$30</f>
        <v>159000</v>
      </c>
      <c r="K16" s="18" t="n">
        <f aca="false">I16-J16</f>
        <v>371640</v>
      </c>
      <c r="L16" s="18" t="n">
        <f aca="false">L15+K16</f>
        <v>2610360</v>
      </c>
      <c r="M16" s="18" t="n">
        <f aca="false">Assumptions!$C$17+L16</f>
        <v>2830360</v>
      </c>
      <c r="N16" s="19" t="n">
        <f aca="false">IF(K16&gt;0,1,0)</f>
        <v>1</v>
      </c>
      <c r="O16" s="19" t="n">
        <f aca="false">IF(L16&gt;=Assumptions!$C$5,1,0)</f>
        <v>1</v>
      </c>
    </row>
    <row r="17" customFormat="false" ht="15" hidden="false" customHeight="false" outlineLevel="0" collapsed="false">
      <c r="A17" s="7" t="s">
        <v>71</v>
      </c>
      <c r="B17" s="17" t="n">
        <f aca="false">Assumptions!$B$56</f>
        <v>80</v>
      </c>
      <c r="C17" s="17" t="n">
        <f aca="false">Assumptions!$B$77</f>
        <v>120</v>
      </c>
      <c r="D17" s="18" t="n">
        <f aca="false">B17*30*Assumptions!$C$33</f>
        <v>480000</v>
      </c>
      <c r="E17" s="18" t="n">
        <f aca="false">D17-D17*Assumptions!$C$34-B17*30*Assumptions!$C$35</f>
        <v>252000</v>
      </c>
      <c r="F17" s="18" t="n">
        <f aca="false">C17*30*Assumptions!$C$38</f>
        <v>475200</v>
      </c>
      <c r="G17" s="18" t="n">
        <f aca="false">F17-F17*Assumptions!$C$39-C17*30*Assumptions!$C$40</f>
        <v>278640</v>
      </c>
      <c r="H17" s="18" t="n">
        <f aca="false">D17+F17</f>
        <v>955200</v>
      </c>
      <c r="I17" s="18" t="n">
        <f aca="false">E17+G17</f>
        <v>530640</v>
      </c>
      <c r="J17" s="18" t="n">
        <f aca="false">Assumptions!$C$30</f>
        <v>159000</v>
      </c>
      <c r="K17" s="18" t="n">
        <f aca="false">I17-J17</f>
        <v>371640</v>
      </c>
      <c r="L17" s="18" t="n">
        <f aca="false">L16+K17</f>
        <v>2982000</v>
      </c>
      <c r="M17" s="18" t="n">
        <f aca="false">Assumptions!$C$17+L17</f>
        <v>3202000</v>
      </c>
      <c r="N17" s="19" t="n">
        <f aca="false">IF(K17&gt;0,1,0)</f>
        <v>1</v>
      </c>
      <c r="O17" s="19" t="n">
        <f aca="false">IF(L17&gt;=Assumptions!$C$5,1,0)</f>
        <v>1</v>
      </c>
    </row>
    <row r="18" customFormat="false" ht="15" hidden="false" customHeight="false" outlineLevel="0" collapsed="false">
      <c r="A18" s="7" t="s">
        <v>72</v>
      </c>
      <c r="B18" s="17" t="n">
        <f aca="false">Assumptions!$B$57</f>
        <v>80</v>
      </c>
      <c r="C18" s="17" t="n">
        <f aca="false">Assumptions!$B$78</f>
        <v>120</v>
      </c>
      <c r="D18" s="18" t="n">
        <f aca="false">B18*30*Assumptions!$C$33</f>
        <v>480000</v>
      </c>
      <c r="E18" s="18" t="n">
        <f aca="false">D18-D18*Assumptions!$C$34-B18*30*Assumptions!$C$35</f>
        <v>252000</v>
      </c>
      <c r="F18" s="18" t="n">
        <f aca="false">C18*30*Assumptions!$C$38</f>
        <v>475200</v>
      </c>
      <c r="G18" s="18" t="n">
        <f aca="false">F18-F18*Assumptions!$C$39-C18*30*Assumptions!$C$40</f>
        <v>278640</v>
      </c>
      <c r="H18" s="18" t="n">
        <f aca="false">D18+F18</f>
        <v>955200</v>
      </c>
      <c r="I18" s="18" t="n">
        <f aca="false">E18+G18</f>
        <v>530640</v>
      </c>
      <c r="J18" s="18" t="n">
        <f aca="false">Assumptions!$C$30</f>
        <v>159000</v>
      </c>
      <c r="K18" s="18" t="n">
        <f aca="false">I18-J18</f>
        <v>371640</v>
      </c>
      <c r="L18" s="18" t="n">
        <f aca="false">L17+K18</f>
        <v>3353640</v>
      </c>
      <c r="M18" s="18" t="n">
        <f aca="false">Assumptions!$C$17+L18</f>
        <v>3573640</v>
      </c>
      <c r="N18" s="19" t="n">
        <f aca="false">IF(K18&gt;0,1,0)</f>
        <v>1</v>
      </c>
      <c r="O18" s="19" t="n">
        <f aca="false">IF(L18&gt;=Assumptions!$C$5,1,0)</f>
        <v>1</v>
      </c>
    </row>
    <row r="19" customFormat="false" ht="15" hidden="false" customHeight="false" outlineLevel="0" collapsed="false">
      <c r="A19" s="7" t="s">
        <v>73</v>
      </c>
      <c r="B19" s="17" t="n">
        <f aca="false">Assumptions!$B$58</f>
        <v>80</v>
      </c>
      <c r="C19" s="17" t="n">
        <f aca="false">Assumptions!$B$79</f>
        <v>120</v>
      </c>
      <c r="D19" s="18" t="n">
        <f aca="false">B19*30*Assumptions!$C$33</f>
        <v>480000</v>
      </c>
      <c r="E19" s="18" t="n">
        <f aca="false">D19-D19*Assumptions!$C$34-B19*30*Assumptions!$C$35</f>
        <v>252000</v>
      </c>
      <c r="F19" s="18" t="n">
        <f aca="false">C19*30*Assumptions!$C$38</f>
        <v>475200</v>
      </c>
      <c r="G19" s="18" t="n">
        <f aca="false">F19-F19*Assumptions!$C$39-C19*30*Assumptions!$C$40</f>
        <v>278640</v>
      </c>
      <c r="H19" s="18" t="n">
        <f aca="false">D19+F19</f>
        <v>955200</v>
      </c>
      <c r="I19" s="18" t="n">
        <f aca="false">E19+G19</f>
        <v>530640</v>
      </c>
      <c r="J19" s="18" t="n">
        <f aca="false">Assumptions!$C$30</f>
        <v>159000</v>
      </c>
      <c r="K19" s="18" t="n">
        <f aca="false">I19-J19</f>
        <v>371640</v>
      </c>
      <c r="L19" s="18" t="n">
        <f aca="false">L18+K19</f>
        <v>3725280</v>
      </c>
      <c r="M19" s="18" t="n">
        <f aca="false">Assumptions!$C$17+L19</f>
        <v>3945280</v>
      </c>
      <c r="N19" s="19" t="n">
        <f aca="false">IF(K19&gt;0,1,0)</f>
        <v>1</v>
      </c>
      <c r="O19" s="19" t="n">
        <f aca="false">IF(L19&gt;=Assumptions!$C$5,1,0)</f>
        <v>1</v>
      </c>
    </row>
    <row r="20" customFormat="false" ht="15" hidden="false" customHeight="false" outlineLevel="0" collapsed="false">
      <c r="A20" s="7" t="s">
        <v>74</v>
      </c>
      <c r="B20" s="17" t="n">
        <f aca="false">Assumptions!$B$59</f>
        <v>80</v>
      </c>
      <c r="C20" s="17" t="n">
        <f aca="false">Assumptions!$B$80</f>
        <v>120</v>
      </c>
      <c r="D20" s="18" t="n">
        <f aca="false">B20*30*Assumptions!$C$33</f>
        <v>480000</v>
      </c>
      <c r="E20" s="18" t="n">
        <f aca="false">D20-D20*Assumptions!$C$34-B20*30*Assumptions!$C$35</f>
        <v>252000</v>
      </c>
      <c r="F20" s="18" t="n">
        <f aca="false">C20*30*Assumptions!$C$38</f>
        <v>475200</v>
      </c>
      <c r="G20" s="18" t="n">
        <f aca="false">F20-F20*Assumptions!$C$39-C20*30*Assumptions!$C$40</f>
        <v>278640</v>
      </c>
      <c r="H20" s="18" t="n">
        <f aca="false">D20+F20</f>
        <v>955200</v>
      </c>
      <c r="I20" s="18" t="n">
        <f aca="false">E20+G20</f>
        <v>530640</v>
      </c>
      <c r="J20" s="18" t="n">
        <f aca="false">Assumptions!$C$30</f>
        <v>159000</v>
      </c>
      <c r="K20" s="18" t="n">
        <f aca="false">I20-J20</f>
        <v>371640</v>
      </c>
      <c r="L20" s="18" t="n">
        <f aca="false">L19+K20</f>
        <v>4096920</v>
      </c>
      <c r="M20" s="18" t="n">
        <f aca="false">Assumptions!$C$17+L20</f>
        <v>4316920</v>
      </c>
      <c r="N20" s="19" t="n">
        <f aca="false">IF(K20&gt;0,1,0)</f>
        <v>1</v>
      </c>
      <c r="O20" s="19" t="n">
        <f aca="false">IF(L20&gt;=Assumptions!$C$5,1,0)</f>
        <v>1</v>
      </c>
    </row>
    <row r="21" customFormat="false" ht="15" hidden="false" customHeight="false" outlineLevel="0" collapsed="false">
      <c r="A21" s="7" t="s">
        <v>75</v>
      </c>
      <c r="B21" s="17" t="n">
        <f aca="false">Assumptions!$B$60</f>
        <v>80</v>
      </c>
      <c r="C21" s="17" t="n">
        <f aca="false">Assumptions!$B$81</f>
        <v>120</v>
      </c>
      <c r="D21" s="18" t="n">
        <f aca="false">B21*30*Assumptions!$C$33</f>
        <v>480000</v>
      </c>
      <c r="E21" s="18" t="n">
        <f aca="false">D21-D21*Assumptions!$C$34-B21*30*Assumptions!$C$35</f>
        <v>252000</v>
      </c>
      <c r="F21" s="18" t="n">
        <f aca="false">C21*30*Assumptions!$C$38</f>
        <v>475200</v>
      </c>
      <c r="G21" s="18" t="n">
        <f aca="false">F21-F21*Assumptions!$C$39-C21*30*Assumptions!$C$40</f>
        <v>278640</v>
      </c>
      <c r="H21" s="18" t="n">
        <f aca="false">D21+F21</f>
        <v>955200</v>
      </c>
      <c r="I21" s="18" t="n">
        <f aca="false">E21+G21</f>
        <v>530640</v>
      </c>
      <c r="J21" s="18" t="n">
        <f aca="false">Assumptions!$C$30</f>
        <v>159000</v>
      </c>
      <c r="K21" s="18" t="n">
        <f aca="false">I21-J21</f>
        <v>371640</v>
      </c>
      <c r="L21" s="18" t="n">
        <f aca="false">L20+K21</f>
        <v>4468560</v>
      </c>
      <c r="M21" s="18" t="n">
        <f aca="false">Assumptions!$C$17+L21</f>
        <v>4688560</v>
      </c>
      <c r="N21" s="19" t="n">
        <f aca="false">IF(K21&gt;0,1,0)</f>
        <v>1</v>
      </c>
      <c r="O21" s="19" t="n">
        <f aca="false">IF(L21&gt;=Assumptions!$C$5,1,0)</f>
        <v>1</v>
      </c>
    </row>
    <row r="22" customFormat="false" ht="15" hidden="false" customHeight="false" outlineLevel="0" collapsed="false">
      <c r="A22" s="7" t="s">
        <v>76</v>
      </c>
      <c r="B22" s="17" t="n">
        <f aca="false">Assumptions!$B$61</f>
        <v>80</v>
      </c>
      <c r="C22" s="17" t="n">
        <f aca="false">Assumptions!$B$82</f>
        <v>120</v>
      </c>
      <c r="D22" s="18" t="n">
        <f aca="false">B22*30*Assumptions!$C$33</f>
        <v>480000</v>
      </c>
      <c r="E22" s="18" t="n">
        <f aca="false">D22-D22*Assumptions!$C$34-B22*30*Assumptions!$C$35</f>
        <v>252000</v>
      </c>
      <c r="F22" s="18" t="n">
        <f aca="false">C22*30*Assumptions!$C$38</f>
        <v>475200</v>
      </c>
      <c r="G22" s="18" t="n">
        <f aca="false">F22-F22*Assumptions!$C$39-C22*30*Assumptions!$C$40</f>
        <v>278640</v>
      </c>
      <c r="H22" s="18" t="n">
        <f aca="false">D22+F22</f>
        <v>955200</v>
      </c>
      <c r="I22" s="18" t="n">
        <f aca="false">E22+G22</f>
        <v>530640</v>
      </c>
      <c r="J22" s="18" t="n">
        <f aca="false">Assumptions!$C$30</f>
        <v>159000</v>
      </c>
      <c r="K22" s="18" t="n">
        <f aca="false">I22-J22</f>
        <v>371640</v>
      </c>
      <c r="L22" s="18" t="n">
        <f aca="false">L21+K22</f>
        <v>4840200</v>
      </c>
      <c r="M22" s="18" t="n">
        <f aca="false">Assumptions!$C$17+L22</f>
        <v>5060200</v>
      </c>
      <c r="N22" s="19" t="n">
        <f aca="false">IF(K22&gt;0,1,0)</f>
        <v>1</v>
      </c>
      <c r="O22" s="19" t="n">
        <f aca="false">IF(L22&gt;=Assumptions!$C$5,1,0)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6" t="s">
        <v>97</v>
      </c>
    </row>
    <row r="5" customFormat="false" ht="15" hidden="false" customHeight="false" outlineLevel="0" collapsed="false">
      <c r="A5" s="7" t="s">
        <v>58</v>
      </c>
      <c r="C5" s="17" t="n">
        <f aca="false">'Monthly Projection'!B22</f>
        <v>80</v>
      </c>
    </row>
    <row r="6" customFormat="false" ht="15" hidden="false" customHeight="false" outlineLevel="0" collapsed="false">
      <c r="A6" s="7" t="s">
        <v>98</v>
      </c>
      <c r="C6" s="18" t="n">
        <f aca="false">'Monthly Projection'!D22/30</f>
        <v>16000</v>
      </c>
    </row>
    <row r="7" customFormat="false" ht="15" hidden="false" customHeight="false" outlineLevel="0" collapsed="false">
      <c r="A7" s="13" t="s">
        <v>99</v>
      </c>
      <c r="C7" s="14" t="n">
        <f aca="false">'Monthly Projection'!E22/30</f>
        <v>8400</v>
      </c>
    </row>
    <row r="9" customFormat="false" ht="15" hidden="false" customHeight="false" outlineLevel="0" collapsed="false">
      <c r="A9" s="6" t="s">
        <v>100</v>
      </c>
    </row>
    <row r="10" customFormat="false" ht="15" hidden="false" customHeight="false" outlineLevel="0" collapsed="false">
      <c r="A10" s="7" t="s">
        <v>78</v>
      </c>
      <c r="C10" s="17" t="n">
        <f aca="false">'Monthly Projection'!C22</f>
        <v>120</v>
      </c>
    </row>
    <row r="11" customFormat="false" ht="15" hidden="false" customHeight="false" outlineLevel="0" collapsed="false">
      <c r="A11" s="7" t="s">
        <v>98</v>
      </c>
      <c r="C11" s="18" t="n">
        <f aca="false">'Monthly Projection'!F22/30</f>
        <v>15840</v>
      </c>
    </row>
    <row r="12" customFormat="false" ht="15" hidden="false" customHeight="false" outlineLevel="0" collapsed="false">
      <c r="A12" s="13" t="s">
        <v>99</v>
      </c>
      <c r="C12" s="14" t="n">
        <f aca="false">'Monthly Projection'!G22/30</f>
        <v>9288</v>
      </c>
    </row>
    <row r="14" customFormat="false" ht="15" hidden="false" customHeight="false" outlineLevel="0" collapsed="false">
      <c r="A14" s="6" t="s">
        <v>101</v>
      </c>
    </row>
    <row r="15" customFormat="false" ht="15" hidden="false" customHeight="false" outlineLevel="0" collapsed="false">
      <c r="A15" s="7" t="s">
        <v>102</v>
      </c>
      <c r="C15" s="18" t="n">
        <f aca="false">Assumptions!$C$30/30</f>
        <v>5300</v>
      </c>
    </row>
    <row r="17" customFormat="false" ht="15" hidden="false" customHeight="false" outlineLevel="0" collapsed="false">
      <c r="A17" s="6" t="s">
        <v>103</v>
      </c>
    </row>
    <row r="18" customFormat="false" ht="15" hidden="false" customHeight="false" outlineLevel="0" collapsed="false">
      <c r="A18" s="7" t="s">
        <v>104</v>
      </c>
      <c r="C18" s="18" t="n">
        <f aca="false">C7+C12</f>
        <v>17688</v>
      </c>
    </row>
    <row r="19" customFormat="false" ht="15" hidden="false" customHeight="false" outlineLevel="0" collapsed="false">
      <c r="A19" s="7" t="s">
        <v>105</v>
      </c>
      <c r="C19" s="18" t="n">
        <f aca="false">-C15</f>
        <v>-5300</v>
      </c>
    </row>
    <row r="20" customFormat="false" ht="15" hidden="false" customHeight="false" outlineLevel="0" collapsed="false">
      <c r="A20" s="10" t="s">
        <v>106</v>
      </c>
      <c r="C20" s="12" t="n">
        <f aca="false">C18-C15</f>
        <v>12388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6" t="s">
        <v>109</v>
      </c>
    </row>
    <row r="5" customFormat="false" ht="15" hidden="false" customHeight="false" outlineLevel="0" collapsed="false">
      <c r="A5" s="7" t="s">
        <v>110</v>
      </c>
      <c r="C5" s="18" t="n">
        <f aca="false">Assumptions!$C$5</f>
        <v>1000000</v>
      </c>
    </row>
    <row r="6" customFormat="false" ht="15" hidden="false" customHeight="false" outlineLevel="0" collapsed="false">
      <c r="A6" s="7" t="s">
        <v>111</v>
      </c>
      <c r="C6" s="18" t="n">
        <f aca="false">Assumptions!$C$16</f>
        <v>780000</v>
      </c>
    </row>
    <row r="7" customFormat="false" ht="15" hidden="false" customHeight="false" outlineLevel="0" collapsed="false">
      <c r="A7" s="7" t="s">
        <v>112</v>
      </c>
      <c r="C7" s="18" t="n">
        <f aca="false">Assumptions!$C$17</f>
        <v>220000</v>
      </c>
    </row>
    <row r="9" customFormat="false" ht="15" hidden="false" customHeight="false" outlineLevel="0" collapsed="false">
      <c r="A9" s="6" t="s">
        <v>113</v>
      </c>
    </row>
    <row r="10" customFormat="false" ht="15" hidden="false" customHeight="false" outlineLevel="0" collapsed="false">
      <c r="A10" s="20" t="s">
        <v>114</v>
      </c>
      <c r="C10" s="14" t="n">
        <f aca="false">'Daily P&amp;L (At Maturity)'!C20</f>
        <v>12388</v>
      </c>
    </row>
    <row r="12" customFormat="false" ht="15" hidden="false" customHeight="false" outlineLevel="0" collapsed="false">
      <c r="A12" s="6" t="s">
        <v>115</v>
      </c>
    </row>
    <row r="13" customFormat="false" ht="15" hidden="false" customHeight="false" outlineLevel="0" collapsed="false">
      <c r="A13" s="20" t="s">
        <v>116</v>
      </c>
      <c r="C13" s="21" t="str">
        <f aca="false">IFERROR("Month "&amp;MATCH(1,'Monthly Projection'!N5:N22,0),"Not within 18 months")</f>
        <v>Month 3</v>
      </c>
    </row>
    <row r="14" customFormat="false" ht="15" hidden="false" customHeight="false" outlineLevel="0" collapsed="false">
      <c r="A14" s="20" t="s">
        <v>117</v>
      </c>
      <c r="C14" s="21" t="str">
        <f aca="false">IFERROR("Month "&amp;MATCH(1,'Monthly Projection'!O5:O22,0),"Not within 18 months")</f>
        <v>Month 8</v>
      </c>
    </row>
    <row r="16" customFormat="false" ht="15" hidden="false" customHeight="false" outlineLevel="0" collapsed="false">
      <c r="A16" s="6" t="s">
        <v>118</v>
      </c>
    </row>
    <row r="17" customFormat="false" ht="15" hidden="false" customHeight="false" outlineLevel="0" collapsed="false">
      <c r="A17" s="7" t="s">
        <v>119</v>
      </c>
      <c r="C17" s="22" t="n">
        <f aca="false">('Daily P&amp;L (At Maturity)'!C7)/('Daily P&amp;L (At Maturity)'!C6)</f>
        <v>0.525</v>
      </c>
    </row>
    <row r="18" customFormat="false" ht="15" hidden="false" customHeight="false" outlineLevel="0" collapsed="false">
      <c r="A18" s="7" t="s">
        <v>120</v>
      </c>
      <c r="C18" s="22" t="n">
        <f aca="false">('Daily P&amp;L (At Maturity)'!C12)/('Daily P&amp;L (At Maturity)'!C11)</f>
        <v>0.586363636363636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2026-08-20T08:15:08Z</dcterms:created>
  <dc:creator>openpyxl</dc:creator>
  <dc:description/>
  <dc:language>en-US</dc:language>
  <cp:lastModifiedBy/>
  <dcterms:modified xsi:type="dcterms:W3CDTF">2026-08-20T08:15:08Z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